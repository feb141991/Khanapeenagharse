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Catalogue &amp; Comb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E2E8F0"/>
      <sz val="10"/>
    </font>
    <font>
      <name val="Calibri"/>
      <b val="1"/>
      <color rgb="00FFFFFF"/>
      <sz val="10"/>
    </font>
    <font>
      <name val="Calibri"/>
      <b val="1"/>
      <color rgb="001B365D"/>
      <sz val="11"/>
    </font>
    <font>
      <name val="Calibri"/>
      <color rgb="000F172A"/>
      <sz val="10"/>
    </font>
    <font>
      <name val="Calibri"/>
      <b val="1"/>
      <color rgb="00065F46"/>
      <sz val="10"/>
    </font>
    <font>
      <name val="Calibri"/>
      <b val="1"/>
      <color rgb="0092400E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4A6F"/>
        <bgColor rgb="002C4A6F"/>
      </patternFill>
    </fill>
    <fill>
      <patternFill patternType="solid">
        <fgColor rgb="00E2E8F0"/>
        <bgColor rgb="00E2E8F0"/>
      </patternFill>
    </fill>
    <fill>
      <patternFill patternType="solid">
        <fgColor rgb="00ECFDF5"/>
        <bgColor rgb="00ECFDF5"/>
      </patternFill>
    </fill>
    <fill>
      <patternFill patternType="solid">
        <fgColor rgb="00FFFBEB"/>
        <bgColor rgb="00FFFB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right" vertical="center"/>
    </xf>
    <xf numFmtId="164" fontId="7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8" customWidth="1" min="3" max="3"/>
    <col width="18" customWidth="1" min="4" max="4"/>
    <col width="18" customWidth="1" min="5" max="5"/>
    <col width="16" customWidth="1" min="6" max="6"/>
    <col width="12" customWidth="1" min="7" max="7"/>
    <col width="22" customWidth="1" min="8" max="8"/>
    <col width="22" customWidth="1" min="9" max="9"/>
    <col width="24" customWidth="1" min="10" max="10"/>
    <col width="18" customWidth="1" min="11" max="11"/>
    <col width="36" customWidth="1" min="12" max="12"/>
    <col width="15" customWidth="1" min="13" max="13"/>
  </cols>
  <sheetData>
    <row r="1" ht="30" customHeight="1">
      <c r="A1" s="1" t="inlineStr">
        <is>
          <t>KHANA PEENA GHAR SE — NEW CATALOGUE &amp; COMBO ARCHITECTURE</t>
        </is>
      </c>
    </row>
    <row r="2" ht="20" customHeight="1">
      <c r="A2" s="2" t="inlineStr">
        <is>
          <t>Optimized Strategy: 2-Jar Combos, 250g Signature 3-Trio &amp; Individual Hing Achar</t>
        </is>
      </c>
    </row>
    <row r="3"/>
    <row r="4" ht="28" customHeight="1">
      <c r="A4" s="3" t="inlineStr">
        <is>
          <t>SKU Code</t>
        </is>
      </c>
      <c r="B4" s="3" t="inlineStr">
        <is>
          <t>Offering / Combo Name</t>
        </is>
      </c>
      <c r="C4" s="3" t="inlineStr">
        <is>
          <t>Pack Composition</t>
        </is>
      </c>
      <c r="D4" s="3" t="inlineStr">
        <is>
          <t>Total Net Qty</t>
        </is>
      </c>
      <c r="E4" s="3" t="inlineStr">
        <is>
          <t>Pickle COGS (₹)</t>
        </is>
      </c>
      <c r="F4" s="3" t="inlineStr">
        <is>
          <t>Packaging (₹)</t>
        </is>
      </c>
      <c r="G4" s="3" t="inlineStr">
        <is>
          <t>Labor (₹)</t>
        </is>
      </c>
      <c r="H4" s="3" t="inlineStr">
        <is>
          <t>Ex-Factory Cost (₹)</t>
        </is>
      </c>
      <c r="I4" s="3" t="inlineStr">
        <is>
          <t>Courier Freight (₹)</t>
        </is>
      </c>
      <c r="J4" s="3" t="inlineStr">
        <is>
          <t>PG &amp; Buffer (₹)</t>
        </is>
      </c>
      <c r="K4" s="3" t="inlineStr">
        <is>
          <t>Selling MRP (₹)</t>
        </is>
      </c>
      <c r="L4" s="3" t="inlineStr">
        <is>
          <t>Net Profit (₹)</t>
        </is>
      </c>
      <c r="M4" s="3" t="inlineStr">
        <is>
          <t>Net Margin %</t>
        </is>
      </c>
    </row>
    <row r="5" ht="22" customHeight="1">
      <c r="A5" s="4" t="inlineStr">
        <is>
          <t>Category 1: Combos of 2 (Full Size 500g Pairs - The Household Staple Duos)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 ht="22" customHeight="1">
      <c r="A6" s="6" t="inlineStr">
        <is>
          <t>DUO-AM</t>
        </is>
      </c>
      <c r="B6" s="7" t="inlineStr">
        <is>
          <t>The Khatta-Teekha Classic Duo</t>
        </is>
      </c>
      <c r="C6" s="8" t="inlineStr">
        <is>
          <t>1 x Aam (500g) + 1 x Hari Mirch (500g)</t>
        </is>
      </c>
      <c r="D6" s="6" t="inlineStr">
        <is>
          <t>1.0 kg (2 jars)</t>
        </is>
      </c>
      <c r="E6" s="9" t="n">
        <v>175</v>
      </c>
      <c r="F6" s="9" t="n">
        <v>73</v>
      </c>
      <c r="G6" s="9" t="n">
        <v>18</v>
      </c>
      <c r="H6" s="10">
        <f>E6+F6+G6</f>
        <v/>
      </c>
      <c r="I6" s="9" t="n">
        <v>130</v>
      </c>
      <c r="J6" s="9">
        <f>ROUND(K6*0.0486, 0)</f>
        <v/>
      </c>
      <c r="K6" s="10" t="n">
        <v>649</v>
      </c>
      <c r="L6" s="10">
        <f>ROUND((K6/1.12)-H6-I6-J6, 0)</f>
        <v/>
      </c>
      <c r="M6" s="11">
        <f>L6/K6</f>
        <v/>
      </c>
    </row>
    <row r="7" ht="22" customHeight="1">
      <c r="A7" s="6" t="inlineStr">
        <is>
          <t>DUO-AV</t>
        </is>
      </c>
      <c r="B7" s="7" t="inlineStr">
        <is>
          <t>The Royal Heritage Duo</t>
        </is>
      </c>
      <c r="C7" s="8" t="inlineStr">
        <is>
          <t>1 x Aam (500g) + 1 x Mix Veg (500g)</t>
        </is>
      </c>
      <c r="D7" s="6" t="inlineStr">
        <is>
          <t>1.0 kg (2 jars)</t>
        </is>
      </c>
      <c r="E7" s="9" t="n">
        <v>200</v>
      </c>
      <c r="F7" s="9" t="n">
        <v>73</v>
      </c>
      <c r="G7" s="9" t="n">
        <v>18</v>
      </c>
      <c r="H7" s="10">
        <f>E7+F7+G7</f>
        <v/>
      </c>
      <c r="I7" s="9" t="n">
        <v>130</v>
      </c>
      <c r="J7" s="9">
        <f>ROUND(K7*0.0486, 0)</f>
        <v/>
      </c>
      <c r="K7" s="10" t="n">
        <v>679</v>
      </c>
      <c r="L7" s="10">
        <f>ROUND((K7/1.12)-H7-I7-J7, 0)</f>
        <v/>
      </c>
      <c r="M7" s="11">
        <f>L7/K7</f>
        <v/>
      </c>
    </row>
    <row r="8" ht="22" customHeight="1">
      <c r="A8" s="6" t="inlineStr">
        <is>
          <t>DUO-MV</t>
        </is>
      </c>
      <c r="B8" s="7" t="inlineStr">
        <is>
          <t>The Crunch &amp; Spice Duo</t>
        </is>
      </c>
      <c r="C8" s="8" t="inlineStr">
        <is>
          <t>1 x Hari Mirch (500g) + 1 x Mix Veg (500g)</t>
        </is>
      </c>
      <c r="D8" s="6" t="inlineStr">
        <is>
          <t>1.0 kg (2 jars)</t>
        </is>
      </c>
      <c r="E8" s="9" t="n">
        <v>175</v>
      </c>
      <c r="F8" s="9" t="n">
        <v>73</v>
      </c>
      <c r="G8" s="9" t="n">
        <v>18</v>
      </c>
      <c r="H8" s="10">
        <f>E8+F8+G8</f>
        <v/>
      </c>
      <c r="I8" s="9" t="n">
        <v>130</v>
      </c>
      <c r="J8" s="9">
        <f>ROUND(K8*0.0486, 0)</f>
        <v/>
      </c>
      <c r="K8" s="10" t="n">
        <v>649</v>
      </c>
      <c r="L8" s="10">
        <f>ROUND((K8/1.12)-H8-I8-J8, 0)</f>
        <v/>
      </c>
      <c r="M8" s="11">
        <f>L8/K8</f>
        <v/>
      </c>
    </row>
    <row r="9" ht="22" customHeight="1">
      <c r="A9" s="4" t="inlineStr">
        <is>
          <t>Category 2: The Signature 3-Pickle Combo (250g Discovery Taster Box)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0" ht="22" customHeight="1">
      <c r="A10" s="6" t="inlineStr">
        <is>
          <t>TRIO-250</t>
        </is>
      </c>
      <c r="B10" s="7" t="inlineStr">
        <is>
          <t>The Grand Ghar Ka Taster Trio</t>
        </is>
      </c>
      <c r="C10" s="8" t="inlineStr">
        <is>
          <t>1 x Aam (250g) + 1 x Mirch (250g) + 1 x Mix Veg (250g)</t>
        </is>
      </c>
      <c r="D10" s="6" t="inlineStr">
        <is>
          <t>750 gm (3 jars)</t>
        </is>
      </c>
      <c r="E10" s="9" t="n">
        <v>138</v>
      </c>
      <c r="F10" s="9" t="n">
        <v>91</v>
      </c>
      <c r="G10" s="9" t="n">
        <v>20</v>
      </c>
      <c r="H10" s="10">
        <f>E10+F10+G10</f>
        <v/>
      </c>
      <c r="I10" s="9" t="n">
        <v>120</v>
      </c>
      <c r="J10" s="9">
        <f>ROUND(K10*0.0486, 0)</f>
        <v/>
      </c>
      <c r="K10" s="10" t="n">
        <v>549</v>
      </c>
      <c r="L10" s="10">
        <f>ROUND((K10/1.12)-H10-I10-J10, 0)</f>
        <v/>
      </c>
      <c r="M10" s="11">
        <f>L10/K10</f>
        <v/>
      </c>
    </row>
    <row r="11" ht="22" customHeight="1">
      <c r="A11" s="4" t="inlineStr">
        <is>
          <t>Category 3: Specialty Individual Hero (Pure Compounded Hing)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 ht="22" customHeight="1">
      <c r="A12" s="12" t="inlineStr">
        <is>
          <t>HING-125</t>
        </is>
      </c>
      <c r="B12" s="13" t="inlineStr">
        <is>
          <t>Hing Ka Achar (Gourmet Digestive)</t>
        </is>
      </c>
      <c r="C12" s="14" t="inlineStr">
        <is>
          <t>1 x Hing Achar (125g Glass Jar)</t>
        </is>
      </c>
      <c r="D12" s="12" t="inlineStr">
        <is>
          <t>125 gm (1 jar)</t>
        </is>
      </c>
      <c r="E12" s="15" t="n">
        <v>100</v>
      </c>
      <c r="F12" s="15" t="n">
        <v>32</v>
      </c>
      <c r="G12" s="15" t="n">
        <v>8</v>
      </c>
      <c r="H12" s="16">
        <f>E12+F12+G12</f>
        <v/>
      </c>
      <c r="I12" s="15" t="n">
        <v>55</v>
      </c>
      <c r="J12" s="15">
        <f>ROUND(K12*0.0486, 0)</f>
        <v/>
      </c>
      <c r="K12" s="16" t="n">
        <v>329</v>
      </c>
      <c r="L12" s="16">
        <f>ROUND((K12/1.12)-H12-I12-J12, 0)</f>
        <v/>
      </c>
      <c r="M12" s="17">
        <f>L12/K12</f>
        <v/>
      </c>
    </row>
  </sheetData>
  <mergeCells count="5">
    <mergeCell ref="A1:M1"/>
    <mergeCell ref="A5:M5"/>
    <mergeCell ref="A9:M9"/>
    <mergeCell ref="A2:M2"/>
    <mergeCell ref="A11:M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2026-10-04T11:01:14Z</dcterms:created>
  <dcterms:modified xsi:type="dcterms:W3CDTF">2026-10-04T11:01:14Z</dcterms:modified>
</cp:coreProperties>
</file>