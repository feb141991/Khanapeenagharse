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2C Cost &amp; Pricing Eng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FFFFFF"/>
      <sz val="10"/>
    </font>
    <font>
      <name val="Calibri"/>
      <b val="1"/>
      <color rgb="001B365D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A6F"/>
        <bgColor rgb="002C4A6F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8" customWidth="1" min="4" max="4"/>
    <col width="23" customWidth="1" min="5" max="5"/>
    <col width="22" customWidth="1" min="6" max="6"/>
    <col width="22" customWidth="1" min="7" max="7"/>
    <col width="19" customWidth="1" min="8" max="8"/>
    <col width="22" customWidth="1" min="9" max="9"/>
    <col width="24" customWidth="1" min="10" max="10"/>
    <col width="22" customWidth="1" min="11" max="11"/>
    <col width="28" customWidth="1" min="12" max="12"/>
    <col width="19" customWidth="1" min="13" max="13"/>
    <col width="15" customWidth="1" min="14" max="14"/>
  </cols>
  <sheetData>
    <row r="1" ht="30" customHeight="1">
      <c r="A1" s="1" t="inlineStr">
        <is>
          <t>KHANA PEENA GHAR SE — REAL-WORLD D2C COSTING &amp; PRICING ARCHITECTURE</t>
        </is>
      </c>
    </row>
    <row r="2" ht="20" customHeight="1">
      <c r="A2" s="2" t="inlineStr">
        <is>
          <t>Factoring Real Packed Weights, Courier Slabs, 12% GST, Packaging &amp; Gateway Fees</t>
        </is>
      </c>
    </row>
    <row r="3" ht="10" customHeight="1"/>
    <row r="4" ht="28" customHeight="1">
      <c r="A4" s="3" t="inlineStr">
        <is>
          <t>SKU Code</t>
        </is>
      </c>
      <c r="B4" s="3" t="inlineStr">
        <is>
          <t>Product Description</t>
        </is>
      </c>
      <c r="C4" s="3" t="inlineStr">
        <is>
          <t>Net Qty</t>
        </is>
      </c>
      <c r="D4" s="3" t="inlineStr">
        <is>
          <t>Pickle COGS (₹)</t>
        </is>
      </c>
      <c r="E4" s="3" t="inlineStr">
        <is>
          <t>Packaging &amp; Seal (₹)</t>
        </is>
      </c>
      <c r="F4" s="3" t="inlineStr">
        <is>
          <t>Kitchen / Labor (₹)</t>
        </is>
      </c>
      <c r="G4" s="3" t="inlineStr">
        <is>
          <t>Ex-Factory Cost (₹)</t>
        </is>
      </c>
      <c r="H4" s="3" t="inlineStr">
        <is>
          <t>Packed Weight</t>
        </is>
      </c>
      <c r="I4" s="3" t="inlineStr">
        <is>
          <t>Courier Freight (₹)</t>
        </is>
      </c>
      <c r="J4" s="3" t="inlineStr">
        <is>
          <t>PG + Risk Buffer (₹)</t>
        </is>
      </c>
      <c r="K4" s="3" t="inlineStr">
        <is>
          <t>Recommended MRP (₹)</t>
        </is>
      </c>
      <c r="L4" s="3" t="inlineStr">
        <is>
          <t>GST (12%) (₹)</t>
        </is>
      </c>
      <c r="M4" s="3" t="inlineStr">
        <is>
          <t>Net Profit / Order (₹)</t>
        </is>
      </c>
      <c r="N4" s="3" t="inlineStr">
        <is>
          <t>Net Margin %</t>
        </is>
      </c>
    </row>
    <row r="5" ht="22" customHeight="1">
      <c r="A5" s="4" t="inlineStr">
        <is>
          <t>1. 500g Standard Single Jars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22" customHeight="1">
      <c r="A6" s="6" t="inlineStr">
        <is>
          <t>AAM-500</t>
        </is>
      </c>
      <c r="B6" s="7" t="inlineStr">
        <is>
          <t>Aam Ka Achar (Raw Mango)</t>
        </is>
      </c>
      <c r="C6" s="6" t="inlineStr">
        <is>
          <t>500gm</t>
        </is>
      </c>
      <c r="D6" s="8" t="n">
        <v>100</v>
      </c>
      <c r="E6" s="8" t="n">
        <v>45</v>
      </c>
      <c r="F6" s="8" t="n">
        <v>10</v>
      </c>
      <c r="G6" s="9">
        <f>D6+E6+F6</f>
        <v/>
      </c>
      <c r="H6" s="6" t="inlineStr">
        <is>
          <t>~930g (1kg slab)</t>
        </is>
      </c>
      <c r="I6" s="8" t="n">
        <v>85</v>
      </c>
      <c r="J6" s="8">
        <f>ROUND(K6*0.0486, 0)</f>
        <v/>
      </c>
      <c r="K6" s="9" t="n">
        <v>379</v>
      </c>
      <c r="L6" s="8">
        <f>ROUND(K6-(K6/1.12), 0)</f>
        <v/>
      </c>
      <c r="M6" s="9">
        <f>K6-L6-G6-I6-J6</f>
        <v/>
      </c>
      <c r="N6" s="10">
        <f>M6/K6</f>
        <v/>
      </c>
    </row>
    <row r="7" ht="22" customHeight="1">
      <c r="A7" s="11" t="inlineStr">
        <is>
          <t>MIR-500</t>
        </is>
      </c>
      <c r="B7" s="12" t="inlineStr">
        <is>
          <t>Mirch Ka Achar (Green Chilli)</t>
        </is>
      </c>
      <c r="C7" s="11" t="inlineStr">
        <is>
          <t>500gm</t>
        </is>
      </c>
      <c r="D7" s="13" t="n">
        <v>75</v>
      </c>
      <c r="E7" s="13" t="n">
        <v>45</v>
      </c>
      <c r="F7" s="13" t="n">
        <v>10</v>
      </c>
      <c r="G7" s="14">
        <f>D7+E7+F7</f>
        <v/>
      </c>
      <c r="H7" s="11" t="inlineStr">
        <is>
          <t>~930g (1kg slab)</t>
        </is>
      </c>
      <c r="I7" s="13" t="n">
        <v>85</v>
      </c>
      <c r="J7" s="13">
        <f>ROUND(K7*0.0486, 0)</f>
        <v/>
      </c>
      <c r="K7" s="14" t="n">
        <v>349</v>
      </c>
      <c r="L7" s="13">
        <f>ROUND(K7-(K7/1.12), 0)</f>
        <v/>
      </c>
      <c r="M7" s="14">
        <f>K7-L7-G7-I7-J7</f>
        <v/>
      </c>
      <c r="N7" s="15">
        <f>M7/K7</f>
        <v/>
      </c>
    </row>
    <row r="8" ht="22" customHeight="1">
      <c r="A8" s="6" t="inlineStr">
        <is>
          <t>VEG-500</t>
        </is>
      </c>
      <c r="B8" s="7" t="inlineStr">
        <is>
          <t>Mix Veg Achar (Homestyle Veg)</t>
        </is>
      </c>
      <c r="C8" s="6" t="inlineStr">
        <is>
          <t>500gm</t>
        </is>
      </c>
      <c r="D8" s="8" t="n">
        <v>100</v>
      </c>
      <c r="E8" s="8" t="n">
        <v>45</v>
      </c>
      <c r="F8" s="8" t="n">
        <v>10</v>
      </c>
      <c r="G8" s="9">
        <f>D8+E8+F8</f>
        <v/>
      </c>
      <c r="H8" s="6" t="inlineStr">
        <is>
          <t>~930g (1kg slab)</t>
        </is>
      </c>
      <c r="I8" s="8" t="n">
        <v>85</v>
      </c>
      <c r="J8" s="8">
        <f>ROUND(K8*0.0486, 0)</f>
        <v/>
      </c>
      <c r="K8" s="9" t="n">
        <v>379</v>
      </c>
      <c r="L8" s="8">
        <f>ROUND(K8-(K8/1.12), 0)</f>
        <v/>
      </c>
      <c r="M8" s="9">
        <f>K8-L8-G8-I8-J8</f>
        <v/>
      </c>
      <c r="N8" s="10">
        <f>M8/K8</f>
        <v/>
      </c>
    </row>
    <row r="9" ht="22" customHeight="1">
      <c r="A9" s="4" t="inlineStr">
        <is>
          <t>2. Signature Combo Packs (High AOV)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22" customHeight="1">
      <c r="A10" s="16" t="inlineStr">
        <is>
          <t>COMBO-500</t>
        </is>
      </c>
      <c r="B10" s="17" t="inlineStr">
        <is>
          <t>Family 3-Pack (Aam + Mirch + Mix Veg)</t>
        </is>
      </c>
      <c r="C10" s="16" t="inlineStr">
        <is>
          <t>3 x 500gm (1.5 kg)</t>
        </is>
      </c>
      <c r="D10" s="18" t="n">
        <v>275</v>
      </c>
      <c r="E10" s="18" t="n">
        <v>116</v>
      </c>
      <c r="F10" s="18" t="n">
        <v>25</v>
      </c>
      <c r="G10" s="18">
        <f>D10+E10+F10</f>
        <v/>
      </c>
      <c r="H10" s="16" t="inlineStr">
        <is>
          <t>~2.8kg (3kg slab)</t>
        </is>
      </c>
      <c r="I10" s="18" t="n">
        <v>190</v>
      </c>
      <c r="J10" s="18">
        <f>ROUND(K10*0.0486, 0)</f>
        <v/>
      </c>
      <c r="K10" s="18" t="n">
        <v>849</v>
      </c>
      <c r="L10" s="18">
        <f>ROUND(K10-(K10/1.12), 0)</f>
        <v/>
      </c>
      <c r="M10" s="18">
        <f>K10-L10-G10-I10-J10</f>
        <v/>
      </c>
      <c r="N10" s="19">
        <f>M10/K10</f>
        <v/>
      </c>
    </row>
    <row r="11" ht="22" customHeight="1">
      <c r="A11" s="16" t="inlineStr">
        <is>
          <t>COMBO-250</t>
        </is>
      </c>
      <c r="B11" s="17" t="inlineStr">
        <is>
          <t>Taster Trio (Aam + Mirch + Mix Veg)</t>
        </is>
      </c>
      <c r="C11" s="16" t="inlineStr">
        <is>
          <t>3 x 250gm (750 gm)</t>
        </is>
      </c>
      <c r="D11" s="18" t="n">
        <v>138</v>
      </c>
      <c r="E11" s="18" t="n">
        <v>91</v>
      </c>
      <c r="F11" s="18" t="n">
        <v>20</v>
      </c>
      <c r="G11" s="18">
        <f>D11+E11+F11</f>
        <v/>
      </c>
      <c r="H11" s="16" t="inlineStr">
        <is>
          <t>~1.4kg (1.5kg slab)</t>
        </is>
      </c>
      <c r="I11" s="18" t="n">
        <v>125</v>
      </c>
      <c r="J11" s="18">
        <f>ROUND(K11*0.0486, 0)</f>
        <v/>
      </c>
      <c r="K11" s="18" t="n">
        <v>549</v>
      </c>
      <c r="L11" s="18">
        <f>ROUND(K11-(K11/1.12), 0)</f>
        <v/>
      </c>
      <c r="M11" s="18">
        <f>K11-L11-G11-I11-J11</f>
        <v/>
      </c>
      <c r="N11" s="19">
        <f>M11/K11</f>
        <v/>
      </c>
    </row>
    <row r="12" ht="22" customHeight="1">
      <c r="A12" s="4" t="inlineStr">
        <is>
          <t>3. Specialty / High-Value Jars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11" t="inlineStr">
        <is>
          <t>HING-125</t>
        </is>
      </c>
      <c r="B13" s="12" t="inlineStr">
        <is>
          <t>Hing Ka Achar (Pure Compounded Hing)</t>
        </is>
      </c>
      <c r="C13" s="11" t="inlineStr">
        <is>
          <t>125gm</t>
        </is>
      </c>
      <c r="D13" s="13" t="n">
        <v>100</v>
      </c>
      <c r="E13" s="13" t="n">
        <v>32</v>
      </c>
      <c r="F13" s="13" t="n">
        <v>8</v>
      </c>
      <c r="G13" s="14">
        <f>D13+E13+F13</f>
        <v/>
      </c>
      <c r="H13" s="11" t="inlineStr">
        <is>
          <t>~280g (0.5kg slab)</t>
        </is>
      </c>
      <c r="I13" s="13" t="n">
        <v>55</v>
      </c>
      <c r="J13" s="13">
        <f>ROUND(K13*0.0486, 0)</f>
        <v/>
      </c>
      <c r="K13" s="14" t="n">
        <v>329</v>
      </c>
      <c r="L13" s="13">
        <f>ROUND(K13-(K13/1.12), 0)</f>
        <v/>
      </c>
      <c r="M13" s="14">
        <f>K13-L13-G13-I13-J13</f>
        <v/>
      </c>
      <c r="N13" s="15">
        <f>M13/K13</f>
        <v/>
      </c>
    </row>
  </sheetData>
  <mergeCells count="5">
    <mergeCell ref="A9:N9"/>
    <mergeCell ref="A12:N12"/>
    <mergeCell ref="A2:N2"/>
    <mergeCell ref="A5:N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2026-10-04T10:56:01Z</dcterms:created>
  <dcterms:modified xsi:type="dcterms:W3CDTF">2026-10-04T10:56:01Z</dcterms:modified>
</cp:coreProperties>
</file>