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Business(C)/Khana Peena Ghar Se/Khannana/khanapeena/"/>
    </mc:Choice>
  </mc:AlternateContent>
  <xr:revisionPtr revIDLastSave="0" documentId="13_ncr:1_{4EC45883-8644-1541-98F4-0D33554D7300}" xr6:coauthVersionLast="47" xr6:coauthVersionMax="47" xr10:uidLastSave="{00000000-0000-0000-0000-000000000000}"/>
  <bookViews>
    <workbookView xWindow="0" yWindow="760" windowWidth="36980" windowHeight="24100" xr2:uid="{00000000-000D-0000-FFFF-FFFF00000000}"/>
  </bookViews>
  <sheets>
    <sheet name="Pricing &amp; Cos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G18" i="1"/>
  <c r="J18" i="1" s="1"/>
  <c r="K18" i="1" s="1"/>
  <c r="G14" i="1"/>
  <c r="J14" i="1" s="1"/>
  <c r="K14" i="1" s="1"/>
  <c r="G13" i="1"/>
  <c r="J13" i="1" s="1"/>
  <c r="K13" i="1" s="1"/>
  <c r="G12" i="1"/>
  <c r="G15" i="1" s="1"/>
  <c r="J15" i="1" s="1"/>
  <c r="K15" i="1" s="1"/>
  <c r="G8" i="1"/>
  <c r="J8" i="1" s="1"/>
  <c r="K8" i="1" s="1"/>
  <c r="G7" i="1"/>
  <c r="J7" i="1" s="1"/>
  <c r="K7" i="1" s="1"/>
  <c r="G6" i="1"/>
  <c r="J6" i="1" s="1"/>
  <c r="K6" i="1" s="1"/>
  <c r="J12" i="1" l="1"/>
  <c r="K12" i="1" s="1"/>
  <c r="G9" i="1"/>
  <c r="J9" i="1" s="1"/>
  <c r="K9" i="1" s="1"/>
</calcChain>
</file>

<file path=xl/sharedStrings.xml><?xml version="1.0" encoding="utf-8"?>
<sst xmlns="http://schemas.openxmlformats.org/spreadsheetml/2006/main" count="49" uniqueCount="31">
  <si>
    <t>KHANA PEENA GHAR SE — PRODUCT COST &amp; PRICING SHEET</t>
  </si>
  <si>
    <t>Cost Breakdown, Packaging, Margins, Shipping &amp; Final Selling Price</t>
  </si>
  <si>
    <t>S.No.</t>
  </si>
  <si>
    <t>Description</t>
  </si>
  <si>
    <t>Qty / Size</t>
  </si>
  <si>
    <t>Pickle Cost (₹)</t>
  </si>
  <si>
    <t>Jar (₹)</t>
  </si>
  <si>
    <t>Outer Pkg (₹)</t>
  </si>
  <si>
    <t>Unit Cost (₹)</t>
  </si>
  <si>
    <t>Profit (₹)</t>
  </si>
  <si>
    <t>Shipping (₹)</t>
  </si>
  <si>
    <t>Total Price (₹)</t>
  </si>
  <si>
    <t>Margin %</t>
  </si>
  <si>
    <t>1. 500g Single Jars &amp; 3-Jar Combo Pack</t>
  </si>
  <si>
    <t>1</t>
  </si>
  <si>
    <t>Aam Ka Achaar (Mango Pickle)</t>
  </si>
  <si>
    <t>500gm</t>
  </si>
  <si>
    <t>2</t>
  </si>
  <si>
    <t>Mirch Ka Achaar (Green Chilli Pickle)</t>
  </si>
  <si>
    <t>3</t>
  </si>
  <si>
    <t>Mix Veg Achaar (Mixed Vegetable Pickle)</t>
  </si>
  <si>
    <t>★</t>
  </si>
  <si>
    <t>Combo Pack (Aam + Mirch + Mix Veg)</t>
  </si>
  <si>
    <t>3 x 500gm (1.5 kg)</t>
  </si>
  <si>
    <t>-</t>
  </si>
  <si>
    <t>2. 250g Single Jars &amp; 3-Jar Combo Pack</t>
  </si>
  <si>
    <t>250gm</t>
  </si>
  <si>
    <t>3 x 250gm (750 gm)</t>
  </si>
  <si>
    <t>3. Specialty Pickles (125g)</t>
  </si>
  <si>
    <t>Hing Ka Achaar (Asafoetida Pickle)</t>
  </si>
  <si>
    <t>125gm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</si>
</sst>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D1D5DB"/>
      <name val="Calibri"/>
      <family val="2"/>
    </font>
    <font>
      <b/>
      <sz val="11"/>
      <color rgb="FFFFFFFF"/>
      <name val="Calibri"/>
      <family val="2"/>
    </font>
    <font>
      <b/>
      <sz val="11"/>
      <color rgb="FF1E3A5F"/>
      <name val="Calibri"/>
      <family val="2"/>
    </font>
    <font>
      <sz val="11"/>
      <color rgb="FF1F2937"/>
      <name val="Calibri"/>
      <family val="2"/>
    </font>
    <font>
      <b/>
      <sz val="11"/>
      <color rgb="FF1F2937"/>
      <name val="Calibri"/>
      <family val="2"/>
    </font>
    <font>
      <b/>
      <sz val="11"/>
      <color rgb="FF1B5E2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B5B84"/>
        <bgColor rgb="FF2B5B84"/>
      </patternFill>
    </fill>
    <fill>
      <patternFill patternType="solid">
        <fgColor rgb="FFE9EFF6"/>
        <bgColor rgb="FFE9EFF6"/>
      </patternFill>
    </fill>
    <fill>
      <patternFill patternType="solid">
        <fgColor rgb="FFF8FAFC"/>
        <bgColor rgb="FFF8FAFC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165" fontId="7" fillId="6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left" vertical="center" inden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132" workbookViewId="0">
      <selection activeCell="D13" sqref="D13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20" customWidth="1"/>
    <col min="4" max="4" width="19" customWidth="1"/>
    <col min="5" max="5" width="12" customWidth="1"/>
    <col min="6" max="7" width="17" customWidth="1"/>
    <col min="8" max="8" width="14" customWidth="1"/>
    <col min="9" max="9" width="16" customWidth="1"/>
    <col min="10" max="10" width="19" customWidth="1"/>
    <col min="11" max="11" width="12" customWidth="1"/>
  </cols>
  <sheetData>
    <row r="1" spans="1:11" ht="32" customHeight="1" x14ac:dyDescent="0.2">
      <c r="A1" s="2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0" customHeight="1" x14ac:dyDescent="0.2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0" customHeight="1" x14ac:dyDescent="0.2"/>
    <row r="4" spans="1:11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2" customHeight="1" x14ac:dyDescent="0.2">
      <c r="A5" s="19" t="s">
        <v>13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2" customHeight="1" x14ac:dyDescent="0.2">
      <c r="A6" s="2" t="s">
        <v>14</v>
      </c>
      <c r="B6" s="3" t="s">
        <v>15</v>
      </c>
      <c r="C6" s="2" t="s">
        <v>16</v>
      </c>
      <c r="D6" s="4">
        <v>145</v>
      </c>
      <c r="E6" s="4">
        <v>20</v>
      </c>
      <c r="F6" s="4">
        <v>15</v>
      </c>
      <c r="G6" s="5">
        <f>SUM(D6:F6)</f>
        <v>180</v>
      </c>
      <c r="H6" s="4">
        <v>150</v>
      </c>
      <c r="I6" s="4">
        <v>80</v>
      </c>
      <c r="J6" s="5">
        <f>G6+H6+I6</f>
        <v>410</v>
      </c>
      <c r="K6" s="6">
        <f>H6/J6</f>
        <v>0.36585365853658536</v>
      </c>
    </row>
    <row r="7" spans="1:11" ht="22" customHeight="1" x14ac:dyDescent="0.2">
      <c r="A7" s="7" t="s">
        <v>17</v>
      </c>
      <c r="B7" s="8" t="s">
        <v>18</v>
      </c>
      <c r="C7" s="7" t="s">
        <v>16</v>
      </c>
      <c r="D7" s="9">
        <v>75</v>
      </c>
      <c r="E7" s="9">
        <v>20</v>
      </c>
      <c r="F7" s="9">
        <v>15</v>
      </c>
      <c r="G7" s="10">
        <f>SUM(D7:F7)</f>
        <v>110</v>
      </c>
      <c r="H7" s="9">
        <v>150</v>
      </c>
      <c r="I7" s="9">
        <v>80</v>
      </c>
      <c r="J7" s="10">
        <f>G7+H7+I7</f>
        <v>340</v>
      </c>
      <c r="K7" s="11">
        <f>H7/J7</f>
        <v>0.44117647058823528</v>
      </c>
    </row>
    <row r="8" spans="1:11" ht="22" customHeight="1" x14ac:dyDescent="0.2">
      <c r="A8" s="2" t="s">
        <v>19</v>
      </c>
      <c r="B8" s="3" t="s">
        <v>20</v>
      </c>
      <c r="C8" s="2" t="s">
        <v>16</v>
      </c>
      <c r="D8" s="4">
        <v>100</v>
      </c>
      <c r="E8" s="4">
        <v>20</v>
      </c>
      <c r="F8" s="4">
        <v>15</v>
      </c>
      <c r="G8" s="5">
        <f>SUM(D8:F8)</f>
        <v>135</v>
      </c>
      <c r="H8" s="4">
        <v>150</v>
      </c>
      <c r="I8" s="4">
        <v>80</v>
      </c>
      <c r="J8" s="5">
        <f>G8+H8+I8</f>
        <v>365</v>
      </c>
      <c r="K8" s="6">
        <f>H8/J8</f>
        <v>0.41095890410958902</v>
      </c>
    </row>
    <row r="9" spans="1:11" ht="22" customHeight="1" x14ac:dyDescent="0.2">
      <c r="A9" s="12" t="s">
        <v>21</v>
      </c>
      <c r="B9" s="13" t="s">
        <v>22</v>
      </c>
      <c r="C9" s="12" t="s">
        <v>23</v>
      </c>
      <c r="D9" s="14" t="s">
        <v>24</v>
      </c>
      <c r="E9" s="14" t="s">
        <v>24</v>
      </c>
      <c r="F9" s="14" t="s">
        <v>24</v>
      </c>
      <c r="G9" s="15">
        <f>SUM(G6:G8)</f>
        <v>425</v>
      </c>
      <c r="H9" s="15">
        <v>150</v>
      </c>
      <c r="I9" s="15">
        <v>70</v>
      </c>
      <c r="J9" s="15">
        <f>G9+H9+I9</f>
        <v>645</v>
      </c>
      <c r="K9" s="16">
        <f>H9/J9</f>
        <v>0.23255813953488372</v>
      </c>
    </row>
    <row r="11" spans="1:11" ht="22" customHeight="1" x14ac:dyDescent="0.2">
      <c r="A11" s="19" t="s">
        <v>25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22" customHeight="1" x14ac:dyDescent="0.2">
      <c r="A12" s="2" t="s">
        <v>14</v>
      </c>
      <c r="B12" s="3" t="s">
        <v>15</v>
      </c>
      <c r="C12" s="2" t="s">
        <v>26</v>
      </c>
      <c r="D12" s="4">
        <v>75</v>
      </c>
      <c r="E12" s="4">
        <v>15</v>
      </c>
      <c r="F12" s="4">
        <v>20</v>
      </c>
      <c r="G12" s="5">
        <f>SUM(D12:F12)</f>
        <v>110</v>
      </c>
      <c r="H12" s="4">
        <v>100</v>
      </c>
      <c r="I12" s="4">
        <v>70</v>
      </c>
      <c r="J12" s="5">
        <f>G12+H12+I12</f>
        <v>280</v>
      </c>
      <c r="K12" s="6">
        <f>H12/J12</f>
        <v>0.35714285714285715</v>
      </c>
    </row>
    <row r="13" spans="1:11" ht="22" customHeight="1" x14ac:dyDescent="0.2">
      <c r="A13" s="7" t="s">
        <v>17</v>
      </c>
      <c r="B13" s="8" t="s">
        <v>18</v>
      </c>
      <c r="C13" s="7" t="s">
        <v>26</v>
      </c>
      <c r="D13" s="9">
        <v>38</v>
      </c>
      <c r="E13" s="9">
        <v>15</v>
      </c>
      <c r="F13" s="9">
        <v>20</v>
      </c>
      <c r="G13" s="10">
        <f>SUM(D13:F13)</f>
        <v>73</v>
      </c>
      <c r="H13" s="9">
        <v>100</v>
      </c>
      <c r="I13" s="9">
        <v>70</v>
      </c>
      <c r="J13" s="10">
        <f>G13+H13+I13</f>
        <v>243</v>
      </c>
      <c r="K13" s="11">
        <f>H13/J13</f>
        <v>0.41152263374485598</v>
      </c>
    </row>
    <row r="14" spans="1:11" ht="22" customHeight="1" x14ac:dyDescent="0.2">
      <c r="A14" s="2" t="s">
        <v>19</v>
      </c>
      <c r="B14" s="3" t="s">
        <v>20</v>
      </c>
      <c r="C14" s="2" t="s">
        <v>26</v>
      </c>
      <c r="D14" s="4">
        <v>50</v>
      </c>
      <c r="E14" s="4">
        <v>15</v>
      </c>
      <c r="F14" s="4">
        <v>20</v>
      </c>
      <c r="G14" s="5">
        <f>SUM(D14:F14)</f>
        <v>85</v>
      </c>
      <c r="H14" s="4">
        <v>100</v>
      </c>
      <c r="I14" s="4">
        <v>70</v>
      </c>
      <c r="J14" s="5">
        <f>G14+H14+I14</f>
        <v>255</v>
      </c>
      <c r="K14" s="6">
        <f>H14/J14</f>
        <v>0.39215686274509803</v>
      </c>
    </row>
    <row r="15" spans="1:11" ht="22" customHeight="1" x14ac:dyDescent="0.2">
      <c r="A15" s="12" t="s">
        <v>21</v>
      </c>
      <c r="B15" s="13" t="s">
        <v>22</v>
      </c>
      <c r="C15" s="12" t="s">
        <v>27</v>
      </c>
      <c r="D15" s="14" t="s">
        <v>24</v>
      </c>
      <c r="E15" s="14" t="s">
        <v>24</v>
      </c>
      <c r="F15" s="14" t="s">
        <v>24</v>
      </c>
      <c r="G15" s="15">
        <f>SUM(G12:G14)</f>
        <v>268</v>
      </c>
      <c r="H15" s="15">
        <v>100</v>
      </c>
      <c r="I15" s="15">
        <v>70</v>
      </c>
      <c r="J15" s="15">
        <f>G15+H15+I15</f>
        <v>438</v>
      </c>
      <c r="K15" s="16">
        <f>H15/J15</f>
        <v>0.22831050228310501</v>
      </c>
    </row>
    <row r="17" spans="1:11" ht="22" customHeight="1" x14ac:dyDescent="0.2">
      <c r="A17" s="19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22" customHeight="1" x14ac:dyDescent="0.2">
      <c r="A18" s="2" t="s">
        <v>14</v>
      </c>
      <c r="B18" s="3" t="s">
        <v>29</v>
      </c>
      <c r="C18" s="2" t="s">
        <v>30</v>
      </c>
      <c r="D18" s="4">
        <v>100</v>
      </c>
      <c r="E18" s="4">
        <v>12</v>
      </c>
      <c r="F18" s="4">
        <v>15</v>
      </c>
      <c r="G18" s="5">
        <f>SUM(D18:F18)</f>
        <v>127</v>
      </c>
      <c r="H18" s="4">
        <v>100</v>
      </c>
      <c r="I18" s="4">
        <v>70</v>
      </c>
      <c r="J18" s="5">
        <f>G18+H18+I18</f>
        <v>297</v>
      </c>
      <c r="K18" s="6">
        <f>H18/J18</f>
        <v>0.33670033670033672</v>
      </c>
    </row>
    <row r="28" spans="1:11" x14ac:dyDescent="0.2">
      <c r="E28">
        <f>145/2</f>
        <v>72.5</v>
      </c>
    </row>
  </sheetData>
  <mergeCells count="5">
    <mergeCell ref="A2:K2"/>
    <mergeCell ref="A11:K11"/>
    <mergeCell ref="A5:K5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&amp; Cost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[Student] Prince Sharma</cp:lastModifiedBy>
  <dcterms:created xsi:type="dcterms:W3CDTF">2026-10-04T10:20:58Z</dcterms:created>
  <dcterms:modified xsi:type="dcterms:W3CDTF">2026-10-04T16:45:36Z</dcterms:modified>
</cp:coreProperties>
</file>